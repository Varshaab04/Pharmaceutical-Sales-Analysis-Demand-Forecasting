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ct - Data Analysis\Data\"/>
    </mc:Choice>
  </mc:AlternateContent>
  <xr:revisionPtr revIDLastSave="0" documentId="13_ncr:1_{FBA30770-86C3-49BB-AE91-C2C002999505}" xr6:coauthVersionLast="47" xr6:coauthVersionMax="47" xr10:uidLastSave="{00000000-0000-0000-0000-000000000000}"/>
  <bookViews>
    <workbookView xWindow="-110" yWindow="-110" windowWidth="19420" windowHeight="10300" xr2:uid="{66624690-CFF6-4D5C-8CD0-C50F895CC2B3}"/>
  </bookViews>
  <sheets>
    <sheet name="MonthlySales" sheetId="1" r:id="rId1"/>
    <sheet name="Summary " sheetId="2" r:id="rId2"/>
  </sheets>
  <definedNames>
    <definedName name="_xlchart.v1.0" hidden="1">MonthlySales!$A$2:$A$71</definedName>
    <definedName name="_xlchart.v1.1" hidden="1">MonthlySales!$J$1</definedName>
    <definedName name="_xlchart.v1.2" hidden="1">MonthlySales!$J$2:$J$71</definedName>
    <definedName name="_xlchart.v1.3" hidden="1">MonthlySales!$A$2:$A$71</definedName>
    <definedName name="_xlchart.v1.4" hidden="1">MonthlySales!$J$1</definedName>
    <definedName name="_xlchart.v1.5" hidden="1">MonthlySales!$J$2:$J$71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B4" i="2"/>
  <c r="B9" i="2"/>
  <c r="B3" i="2"/>
  <c r="B2" i="2"/>
  <c r="B7" i="2"/>
  <c r="B6" i="2"/>
  <c r="B5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2" i="1"/>
</calcChain>
</file>

<file path=xl/sharedStrings.xml><?xml version="1.0" encoding="utf-8"?>
<sst xmlns="http://schemas.openxmlformats.org/spreadsheetml/2006/main" count="20" uniqueCount="12">
  <si>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</si>
  <si>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</si>
  <si>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</si>
  <si>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</si>
  <si>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</si>
  <si>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</si>
  <si>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</si>
  <si>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</si>
  <si>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</si>
  <si>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Total Sales Volume</t>
  </si>
  <si>
    <t>Category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</si>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</sst>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Pharmaceutical Sales </a:t>
            </a:r>
            <a:r>
              <a:rPr lang="en-US"/>
              <a:t>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MonthlySales!$J$1</c:f>
              <c:strCache>
                <c:ptCount val="1"/>
                <c:pt idx="0">
                  <c:v>Total Sales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MonthlySales!$A$2:$A$71</c:f>
              <c:numCache>
                <c:formatCode>m/d/yyyy</c:formatCode>
                <c:ptCount val="70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  <c:pt idx="67">
                  <c:v>43708</c:v>
                </c:pt>
                <c:pt idx="68">
                  <c:v>43738</c:v>
                </c:pt>
                <c:pt idx="69">
                  <c:v>43769</c:v>
                </c:pt>
              </c:numCache>
            </c:numRef>
          </c:cat>
          <c:val>
            <c:numRef>
              <c:f>MonthlySales!$J$2:$J$71</c:f>
              <c:numCache>
                <c:formatCode>General</c:formatCode>
                <c:ptCount val="70"/>
                <c:pt idx="0">
                  <c:v>1821.109999999999</c:v>
                </c:pt>
                <c:pt idx="1">
                  <c:v>1974.4699999999991</c:v>
                </c:pt>
                <c:pt idx="2">
                  <c:v>1606.72</c:v>
                </c:pt>
                <c:pt idx="3">
                  <c:v>1429.674999999999</c:v>
                </c:pt>
                <c:pt idx="4">
                  <c:v>1506.302999999999</c:v>
                </c:pt>
                <c:pt idx="5">
                  <c:v>1390.2049999999999</c:v>
                </c:pt>
                <c:pt idx="6">
                  <c:v>1332.37</c:v>
                </c:pt>
                <c:pt idx="7">
                  <c:v>1499.0199999999991</c:v>
                </c:pt>
                <c:pt idx="8">
                  <c:v>1814.593999999998</c:v>
                </c:pt>
                <c:pt idx="9">
                  <c:v>3146.905999999989</c:v>
                </c:pt>
                <c:pt idx="10">
                  <c:v>1770.64</c:v>
                </c:pt>
                <c:pt idx="11">
                  <c:v>2093.4850000000001</c:v>
                </c:pt>
                <c:pt idx="12">
                  <c:v>2157.7489999999998</c:v>
                </c:pt>
                <c:pt idx="13">
                  <c:v>1831.531999999999</c:v>
                </c:pt>
                <c:pt idx="14">
                  <c:v>1974.0759999999989</c:v>
                </c:pt>
                <c:pt idx="15">
                  <c:v>1723.885</c:v>
                </c:pt>
                <c:pt idx="16">
                  <c:v>1644.577</c:v>
                </c:pt>
                <c:pt idx="17">
                  <c:v>1705.607999999999</c:v>
                </c:pt>
                <c:pt idx="18">
                  <c:v>1523.048</c:v>
                </c:pt>
                <c:pt idx="19">
                  <c:v>1659.597</c:v>
                </c:pt>
                <c:pt idx="20">
                  <c:v>1679.367</c:v>
                </c:pt>
                <c:pt idx="21">
                  <c:v>2529.5759999999991</c:v>
                </c:pt>
                <c:pt idx="22">
                  <c:v>2189.6379999999999</c:v>
                </c:pt>
                <c:pt idx="23">
                  <c:v>2272.829999999999</c:v>
                </c:pt>
                <c:pt idx="24">
                  <c:v>2451.3759999999993</c:v>
                </c:pt>
                <c:pt idx="25">
                  <c:v>2232.4</c:v>
                </c:pt>
                <c:pt idx="26">
                  <c:v>2250.1690000000003</c:v>
                </c:pt>
                <c:pt idx="27">
                  <c:v>2173.572999999999</c:v>
                </c:pt>
                <c:pt idx="28">
                  <c:v>1977.0209999999979</c:v>
                </c:pt>
                <c:pt idx="29">
                  <c:v>1755.231</c:v>
                </c:pt>
                <c:pt idx="30">
                  <c:v>1609.0809999999979</c:v>
                </c:pt>
                <c:pt idx="31">
                  <c:v>1700.0549999999989</c:v>
                </c:pt>
                <c:pt idx="32">
                  <c:v>2049.876999999999</c:v>
                </c:pt>
                <c:pt idx="33">
                  <c:v>2710.1410000000001</c:v>
                </c:pt>
                <c:pt idx="34">
                  <c:v>1962.7659999999987</c:v>
                </c:pt>
                <c:pt idx="35">
                  <c:v>2646.0109999999991</c:v>
                </c:pt>
                <c:pt idx="36">
                  <c:v>1</c:v>
                </c:pt>
                <c:pt idx="37">
                  <c:v>1165.1569999999999</c:v>
                </c:pt>
                <c:pt idx="38">
                  <c:v>1406.855</c:v>
                </c:pt>
                <c:pt idx="39">
                  <c:v>1369.9249999999981</c:v>
                </c:pt>
                <c:pt idx="40">
                  <c:v>1369.484999999999</c:v>
                </c:pt>
                <c:pt idx="41">
                  <c:v>1326.9359999999981</c:v>
                </c:pt>
                <c:pt idx="42">
                  <c:v>1260.5259999999989</c:v>
                </c:pt>
                <c:pt idx="43">
                  <c:v>1302.4199999999987</c:v>
                </c:pt>
                <c:pt idx="44">
                  <c:v>1660.8409999999999</c:v>
                </c:pt>
                <c:pt idx="45">
                  <c:v>2050.1269999999986</c:v>
                </c:pt>
                <c:pt idx="46">
                  <c:v>1705.579</c:v>
                </c:pt>
                <c:pt idx="47">
                  <c:v>1887.1029999999989</c:v>
                </c:pt>
                <c:pt idx="48">
                  <c:v>1985.700999999998</c:v>
                </c:pt>
                <c:pt idx="49">
                  <c:v>2203.248</c:v>
                </c:pt>
                <c:pt idx="50">
                  <c:v>2156.8469999999998</c:v>
                </c:pt>
                <c:pt idx="51">
                  <c:v>1934.4799999999989</c:v>
                </c:pt>
                <c:pt idx="52">
                  <c:v>1675.129999999999</c:v>
                </c:pt>
                <c:pt idx="53">
                  <c:v>1414.3489999999999</c:v>
                </c:pt>
                <c:pt idx="54">
                  <c:v>1563.4789999999991</c:v>
                </c:pt>
                <c:pt idx="55">
                  <c:v>1611.9069999999999</c:v>
                </c:pt>
                <c:pt idx="56">
                  <c:v>1981.3739999999998</c:v>
                </c:pt>
                <c:pt idx="57">
                  <c:v>2221.3349999999905</c:v>
                </c:pt>
                <c:pt idx="58">
                  <c:v>2008.676999999999</c:v>
                </c:pt>
                <c:pt idx="59">
                  <c:v>2277.5340000000001</c:v>
                </c:pt>
                <c:pt idx="60">
                  <c:v>2907.8629999999998</c:v>
                </c:pt>
                <c:pt idx="61">
                  <c:v>1944.1969999999981</c:v>
                </c:pt>
                <c:pt idx="62">
                  <c:v>2038.9379999999992</c:v>
                </c:pt>
                <c:pt idx="63">
                  <c:v>1756.8049999999998</c:v>
                </c:pt>
                <c:pt idx="64">
                  <c:v>1822.1599999999992</c:v>
                </c:pt>
                <c:pt idx="65">
                  <c:v>1482.4069999999988</c:v>
                </c:pt>
                <c:pt idx="66">
                  <c:v>1517.941</c:v>
                </c:pt>
                <c:pt idx="67">
                  <c:v>1377.7789999999989</c:v>
                </c:pt>
                <c:pt idx="68">
                  <c:v>1864.3869999999979</c:v>
                </c:pt>
                <c:pt idx="69">
                  <c:v>538.59999999999991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3-4E2F-A2EA-6CD9485DE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35040"/>
        <c:axId val="159935520"/>
      </c:lineChart>
      <c:dateAx>
        <c:axId val="15993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9960184676355091"/>
              <c:y val="0.94207057451151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5520"/>
        <c:crosses val="autoZero"/>
        <c:auto val="1"/>
        <c:lblOffset val="100"/>
        <c:baseTimeUnit val="months"/>
      </c:dateAx>
      <c:valAx>
        <c:axId val="15993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 Volume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5013404825737266E-2"/>
              <c:y val="0.27461625315703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3</xdr:row>
      <xdr:rowOff>76200</xdr:rowOff>
    </xdr:from>
    <xdr:to>
      <xdr:col>20</xdr:col>
      <xdr:colOff>390525</xdr:colOff>
      <xdr:row>25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F2847-1A96-39FE-6F55-48BACC1E6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F165-D27B-4E47-AEB8-2E45A797931F}">
  <dimension ref="A1:J71"/>
  <sheetViews>
    <sheetView tabSelected="1" topLeftCell="N7" workbookViewId="0">
      <selection sqref="A1:XFD1048576"/>
    </sheetView>
  </sheetViews>
  <sheetFormatPr defaultRowHeight="14.5"/>
  <cols>
    <col min="1" max="1" width="20" customWidth="1"/>
    <col min="2" max="2" width="6.81640625" bestFit="1" customWidth="1"/>
    <col min="10" max="10" width="20.1796875" style="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41670</v>
      </c>
      <c r="B2" s="3">
        <v>127.69</v>
      </c>
      <c r="C2" s="3">
        <v>99.09</v>
      </c>
      <c r="D2" s="3">
        <v>152.099999999999</v>
      </c>
      <c r="E2" s="3">
        <v>878.03</v>
      </c>
      <c r="F2" s="3">
        <v>354</v>
      </c>
      <c r="G2" s="3">
        <v>50</v>
      </c>
      <c r="H2" s="3">
        <v>112</v>
      </c>
      <c r="I2" s="3">
        <v>48.2</v>
      </c>
      <c r="J2" s="5">
        <f>SUM(B2:I2)</f>
        <v>1821.109999999999</v>
      </c>
    </row>
    <row r="3" spans="1:10">
      <c r="A3" s="2">
        <v>41698</v>
      </c>
      <c r="B3" s="3">
        <v>133.32</v>
      </c>
      <c r="C3" s="3">
        <v>126.05</v>
      </c>
      <c r="D3" s="3">
        <v>176.99999999999901</v>
      </c>
      <c r="E3" s="3">
        <v>1001.9</v>
      </c>
      <c r="F3" s="3">
        <v>347</v>
      </c>
      <c r="G3" s="3">
        <v>31</v>
      </c>
      <c r="H3" s="3">
        <v>122</v>
      </c>
      <c r="I3" s="3">
        <v>36.200000000000003</v>
      </c>
      <c r="J3" s="5">
        <f t="shared" ref="J3:J66" si="0">SUM(B3:I3)</f>
        <v>1974.4699999999991</v>
      </c>
    </row>
    <row r="4" spans="1:10">
      <c r="A4" s="2">
        <v>41729</v>
      </c>
      <c r="B4" s="3">
        <v>137.44</v>
      </c>
      <c r="C4" s="3">
        <v>92.95</v>
      </c>
      <c r="D4" s="3">
        <v>147.655</v>
      </c>
      <c r="E4" s="3">
        <v>779.27499999999998</v>
      </c>
      <c r="F4" s="3">
        <v>232</v>
      </c>
      <c r="G4" s="3">
        <v>20</v>
      </c>
      <c r="H4" s="3">
        <v>112</v>
      </c>
      <c r="I4" s="3">
        <v>85.4</v>
      </c>
      <c r="J4" s="5">
        <f t="shared" si="0"/>
        <v>1606.72</v>
      </c>
    </row>
    <row r="5" spans="1:10">
      <c r="A5" s="2">
        <v>41759</v>
      </c>
      <c r="B5" s="3">
        <v>113.1</v>
      </c>
      <c r="C5" s="3">
        <v>89.474999999999994</v>
      </c>
      <c r="D5" s="3">
        <v>130.89999999999901</v>
      </c>
      <c r="E5" s="3">
        <v>698.5</v>
      </c>
      <c r="F5" s="3">
        <v>209</v>
      </c>
      <c r="G5" s="3">
        <v>18</v>
      </c>
      <c r="H5" s="3">
        <v>97</v>
      </c>
      <c r="I5" s="3">
        <v>73.7</v>
      </c>
      <c r="J5" s="5">
        <f t="shared" si="0"/>
        <v>1429.674999999999</v>
      </c>
    </row>
    <row r="6" spans="1:10">
      <c r="A6" s="2">
        <v>41790</v>
      </c>
      <c r="B6" s="3">
        <v>101.79</v>
      </c>
      <c r="C6" s="3">
        <v>119.93300000000001</v>
      </c>
      <c r="D6" s="3">
        <v>132.1</v>
      </c>
      <c r="E6" s="3">
        <v>628.78</v>
      </c>
      <c r="F6" s="3">
        <v>270</v>
      </c>
      <c r="G6" s="3">
        <v>23</v>
      </c>
      <c r="H6" s="3">
        <v>107</v>
      </c>
      <c r="I6" s="3">
        <v>123.69999999999899</v>
      </c>
      <c r="J6" s="5">
        <f t="shared" si="0"/>
        <v>1506.302999999999</v>
      </c>
    </row>
    <row r="7" spans="1:10">
      <c r="A7" s="2">
        <v>41820</v>
      </c>
      <c r="B7" s="3">
        <v>112.07</v>
      </c>
      <c r="C7" s="3">
        <v>94.71</v>
      </c>
      <c r="D7" s="3">
        <v>122.9</v>
      </c>
      <c r="E7" s="3">
        <v>548.22500000000002</v>
      </c>
      <c r="F7" s="3">
        <v>323</v>
      </c>
      <c r="G7" s="3">
        <v>23</v>
      </c>
      <c r="H7" s="3">
        <v>57</v>
      </c>
      <c r="I7" s="3">
        <v>109.3</v>
      </c>
      <c r="J7" s="5">
        <f t="shared" si="0"/>
        <v>1390.2049999999999</v>
      </c>
    </row>
    <row r="8" spans="1:10">
      <c r="A8" s="2">
        <v>41851</v>
      </c>
      <c r="B8" s="3">
        <v>117.06</v>
      </c>
      <c r="C8" s="3">
        <v>95.010000000000105</v>
      </c>
      <c r="D8" s="3">
        <v>129.30000000000001</v>
      </c>
      <c r="E8" s="3">
        <v>491.9</v>
      </c>
      <c r="F8" s="3">
        <v>348</v>
      </c>
      <c r="G8" s="3">
        <v>21</v>
      </c>
      <c r="H8" s="3">
        <v>61</v>
      </c>
      <c r="I8" s="3">
        <v>69.099999999999994</v>
      </c>
      <c r="J8" s="5">
        <f t="shared" si="0"/>
        <v>1332.37</v>
      </c>
    </row>
    <row r="9" spans="1:10">
      <c r="A9" s="2">
        <v>41882</v>
      </c>
      <c r="B9" s="3">
        <v>134.79</v>
      </c>
      <c r="C9" s="3">
        <v>99.780000000000101</v>
      </c>
      <c r="D9" s="3">
        <v>123.8</v>
      </c>
      <c r="E9" s="3">
        <v>583.849999999999</v>
      </c>
      <c r="F9" s="3">
        <v>420</v>
      </c>
      <c r="G9" s="3">
        <v>29</v>
      </c>
      <c r="H9" s="3">
        <v>37</v>
      </c>
      <c r="I9" s="3">
        <v>70.8</v>
      </c>
      <c r="J9" s="5">
        <f t="shared" si="0"/>
        <v>1499.0199999999991</v>
      </c>
    </row>
    <row r="10" spans="1:10">
      <c r="A10" s="2">
        <v>41912</v>
      </c>
      <c r="B10" s="3">
        <v>108.78</v>
      </c>
      <c r="C10" s="3">
        <v>109.09399999999999</v>
      </c>
      <c r="D10" s="3">
        <v>122.099999999999</v>
      </c>
      <c r="E10" s="3">
        <v>887.81999999999903</v>
      </c>
      <c r="F10" s="3">
        <v>399</v>
      </c>
      <c r="G10" s="3">
        <v>14</v>
      </c>
      <c r="H10" s="3">
        <v>115</v>
      </c>
      <c r="I10" s="3">
        <v>58.8</v>
      </c>
      <c r="J10" s="5">
        <f t="shared" si="0"/>
        <v>1814.593999999998</v>
      </c>
    </row>
    <row r="11" spans="1:10">
      <c r="A11" s="2">
        <v>41943</v>
      </c>
      <c r="B11" s="3">
        <v>154.75</v>
      </c>
      <c r="C11" s="3">
        <v>185.24100000000001</v>
      </c>
      <c r="D11" s="3">
        <v>191.599999999999</v>
      </c>
      <c r="E11" s="3">
        <v>1856.8149999999901</v>
      </c>
      <c r="F11" s="3">
        <v>472</v>
      </c>
      <c r="G11" s="3">
        <v>30</v>
      </c>
      <c r="H11" s="3">
        <v>182</v>
      </c>
      <c r="I11" s="3">
        <v>74.5</v>
      </c>
      <c r="J11" s="5">
        <f t="shared" si="0"/>
        <v>3146.905999999989</v>
      </c>
    </row>
    <row r="12" spans="1:10">
      <c r="A12" s="2">
        <v>41973</v>
      </c>
      <c r="B12" s="3">
        <v>138.08000000000001</v>
      </c>
      <c r="C12" s="3">
        <v>100.86</v>
      </c>
      <c r="D12" s="3">
        <v>142.69999999999999</v>
      </c>
      <c r="E12" s="3">
        <v>723.8</v>
      </c>
      <c r="F12" s="3">
        <v>489</v>
      </c>
      <c r="G12" s="3">
        <v>19</v>
      </c>
      <c r="H12" s="3">
        <v>112</v>
      </c>
      <c r="I12" s="3">
        <v>45.2</v>
      </c>
      <c r="J12" s="5">
        <f t="shared" si="0"/>
        <v>1770.64</v>
      </c>
    </row>
    <row r="13" spans="1:10">
      <c r="A13" s="2">
        <v>42004</v>
      </c>
      <c r="B13" s="3">
        <v>131.9</v>
      </c>
      <c r="C13" s="3">
        <v>121.401</v>
      </c>
      <c r="D13" s="3">
        <v>111.124</v>
      </c>
      <c r="E13" s="3">
        <v>1015.66</v>
      </c>
      <c r="F13" s="3">
        <v>492</v>
      </c>
      <c r="G13" s="3">
        <v>25</v>
      </c>
      <c r="H13" s="3">
        <v>163</v>
      </c>
      <c r="I13" s="3">
        <v>33.4</v>
      </c>
      <c r="J13" s="5">
        <f t="shared" si="0"/>
        <v>2093.4850000000001</v>
      </c>
    </row>
    <row r="14" spans="1:10">
      <c r="A14" s="2">
        <v>42035</v>
      </c>
      <c r="B14" s="3">
        <v>135.91</v>
      </c>
      <c r="C14" s="3">
        <v>130.34899999999999</v>
      </c>
      <c r="D14" s="3">
        <v>141</v>
      </c>
      <c r="E14" s="3">
        <v>1044.24</v>
      </c>
      <c r="F14" s="3">
        <v>463</v>
      </c>
      <c r="G14" s="3">
        <v>24</v>
      </c>
      <c r="H14" s="3">
        <v>177.25</v>
      </c>
      <c r="I14" s="3">
        <v>42</v>
      </c>
      <c r="J14" s="5">
        <f t="shared" si="0"/>
        <v>2157.7489999999998</v>
      </c>
    </row>
    <row r="15" spans="1:10">
      <c r="A15" s="2">
        <v>42063</v>
      </c>
      <c r="B15" s="3">
        <v>115.71</v>
      </c>
      <c r="C15" s="3">
        <v>123.739999999999</v>
      </c>
      <c r="D15" s="3">
        <v>131.83000000000001</v>
      </c>
      <c r="E15" s="3">
        <v>953.25199999999995</v>
      </c>
      <c r="F15" s="3">
        <v>243</v>
      </c>
      <c r="G15" s="3">
        <v>9</v>
      </c>
      <c r="H15" s="3">
        <v>208</v>
      </c>
      <c r="I15" s="3">
        <v>47</v>
      </c>
      <c r="J15" s="5">
        <f t="shared" si="0"/>
        <v>1831.531999999999</v>
      </c>
    </row>
    <row r="16" spans="1:10">
      <c r="A16" s="2">
        <v>42094</v>
      </c>
      <c r="B16" s="3">
        <v>156.04</v>
      </c>
      <c r="C16" s="3">
        <v>129.385999999999</v>
      </c>
      <c r="D16" s="3">
        <v>133.80000000000001</v>
      </c>
      <c r="E16" s="3">
        <v>1084.8499999999999</v>
      </c>
      <c r="F16" s="3">
        <v>208</v>
      </c>
      <c r="G16" s="3">
        <v>13</v>
      </c>
      <c r="H16" s="3">
        <v>195</v>
      </c>
      <c r="I16" s="3">
        <v>54</v>
      </c>
      <c r="J16" s="5">
        <f t="shared" si="0"/>
        <v>1974.0759999999989</v>
      </c>
    </row>
    <row r="17" spans="1:10">
      <c r="A17" s="2">
        <v>42124</v>
      </c>
      <c r="B17" s="3">
        <v>154.5</v>
      </c>
      <c r="C17" s="3">
        <v>101.11499999999999</v>
      </c>
      <c r="D17" s="3">
        <v>122.1</v>
      </c>
      <c r="E17" s="3">
        <v>940.17</v>
      </c>
      <c r="F17" s="3">
        <v>192</v>
      </c>
      <c r="G17" s="3">
        <v>5</v>
      </c>
      <c r="H17" s="3">
        <v>97</v>
      </c>
      <c r="I17" s="3">
        <v>112</v>
      </c>
      <c r="J17" s="5">
        <f t="shared" si="0"/>
        <v>1723.885</v>
      </c>
    </row>
    <row r="18" spans="1:10">
      <c r="A18" s="2">
        <v>42155</v>
      </c>
      <c r="B18" s="3">
        <v>160.02000000000001</v>
      </c>
      <c r="C18" s="3">
        <v>119.117</v>
      </c>
      <c r="D18" s="3">
        <v>136.04</v>
      </c>
      <c r="E18" s="3">
        <v>765.9</v>
      </c>
      <c r="F18" s="3">
        <v>194</v>
      </c>
      <c r="G18" s="3">
        <v>10</v>
      </c>
      <c r="H18" s="3">
        <v>100</v>
      </c>
      <c r="I18" s="3">
        <v>159.5</v>
      </c>
      <c r="J18" s="5">
        <f t="shared" si="0"/>
        <v>1644.577</v>
      </c>
    </row>
    <row r="19" spans="1:10">
      <c r="A19" s="2">
        <v>42185</v>
      </c>
      <c r="B19" s="3">
        <v>151.87</v>
      </c>
      <c r="C19" s="3">
        <v>113.69</v>
      </c>
      <c r="D19" s="3">
        <v>145.46</v>
      </c>
      <c r="E19" s="3">
        <v>746.78800000000001</v>
      </c>
      <c r="F19" s="3">
        <v>217</v>
      </c>
      <c r="G19" s="3">
        <v>12</v>
      </c>
      <c r="H19" s="3">
        <v>193</v>
      </c>
      <c r="I19" s="3">
        <v>125.799999999999</v>
      </c>
      <c r="J19" s="5">
        <f t="shared" si="0"/>
        <v>1705.607999999999</v>
      </c>
    </row>
    <row r="20" spans="1:10">
      <c r="A20" s="2">
        <v>42216</v>
      </c>
      <c r="B20" s="3">
        <v>175.61</v>
      </c>
      <c r="C20" s="3">
        <v>113.81</v>
      </c>
      <c r="D20" s="3">
        <v>125.5</v>
      </c>
      <c r="E20" s="3">
        <v>708.82799999999997</v>
      </c>
      <c r="F20" s="3">
        <v>203</v>
      </c>
      <c r="G20" s="3">
        <v>6</v>
      </c>
      <c r="H20" s="3">
        <v>60</v>
      </c>
      <c r="I20" s="3">
        <v>130.30000000000001</v>
      </c>
      <c r="J20" s="5">
        <f t="shared" si="0"/>
        <v>1523.048</v>
      </c>
    </row>
    <row r="21" spans="1:10">
      <c r="A21" s="2">
        <v>42247</v>
      </c>
      <c r="B21" s="3">
        <v>181.69</v>
      </c>
      <c r="C21" s="3">
        <v>144.51900000000001</v>
      </c>
      <c r="D21" s="3">
        <v>133.4</v>
      </c>
      <c r="E21" s="3">
        <v>790.78800000000001</v>
      </c>
      <c r="F21" s="3">
        <v>265.5</v>
      </c>
      <c r="G21" s="3">
        <v>15</v>
      </c>
      <c r="H21" s="3">
        <v>45</v>
      </c>
      <c r="I21" s="3">
        <v>83.7</v>
      </c>
      <c r="J21" s="5">
        <f t="shared" si="0"/>
        <v>1659.597</v>
      </c>
    </row>
    <row r="22" spans="1:10">
      <c r="A22" s="2">
        <v>42277</v>
      </c>
      <c r="B22" s="3">
        <v>166.22</v>
      </c>
      <c r="C22" s="3">
        <v>134.12200000000001</v>
      </c>
      <c r="D22" s="3">
        <v>110.4</v>
      </c>
      <c r="E22" s="3">
        <v>852.125</v>
      </c>
      <c r="F22" s="3">
        <v>243.5</v>
      </c>
      <c r="G22" s="3">
        <v>11</v>
      </c>
      <c r="H22" s="3">
        <v>91</v>
      </c>
      <c r="I22" s="3">
        <v>71</v>
      </c>
      <c r="J22" s="5">
        <f t="shared" si="0"/>
        <v>1679.367</v>
      </c>
    </row>
    <row r="23" spans="1:10">
      <c r="A23" s="2">
        <v>42308</v>
      </c>
      <c r="B23" s="3">
        <v>195.81</v>
      </c>
      <c r="C23" s="3">
        <v>127.230999999999</v>
      </c>
      <c r="D23" s="3">
        <v>146.19999999999999</v>
      </c>
      <c r="E23" s="3">
        <v>1574.335</v>
      </c>
      <c r="F23" s="3">
        <v>222</v>
      </c>
      <c r="G23" s="3">
        <v>8</v>
      </c>
      <c r="H23" s="3">
        <v>184</v>
      </c>
      <c r="I23" s="3">
        <v>72</v>
      </c>
      <c r="J23" s="5">
        <f t="shared" si="0"/>
        <v>2529.5759999999991</v>
      </c>
    </row>
    <row r="24" spans="1:10">
      <c r="A24" s="2">
        <v>42338</v>
      </c>
      <c r="B24" s="3">
        <v>152.78</v>
      </c>
      <c r="C24" s="3">
        <v>128.233</v>
      </c>
      <c r="D24" s="3">
        <v>145.9</v>
      </c>
      <c r="E24" s="3">
        <v>1277.7249999999999</v>
      </c>
      <c r="F24" s="3">
        <v>228</v>
      </c>
      <c r="G24" s="3">
        <v>18</v>
      </c>
      <c r="H24" s="3">
        <v>195</v>
      </c>
      <c r="I24" s="3">
        <v>44</v>
      </c>
      <c r="J24" s="5">
        <f t="shared" si="0"/>
        <v>2189.6379999999999</v>
      </c>
    </row>
    <row r="25" spans="1:10">
      <c r="A25" s="2">
        <v>42369</v>
      </c>
      <c r="B25" s="3">
        <v>159.46</v>
      </c>
      <c r="C25" s="3">
        <v>131.291</v>
      </c>
      <c r="D25" s="3">
        <v>136.99999999999901</v>
      </c>
      <c r="E25" s="3">
        <v>1258.3489999999999</v>
      </c>
      <c r="F25" s="3">
        <v>286</v>
      </c>
      <c r="G25" s="3">
        <v>28</v>
      </c>
      <c r="H25" s="3">
        <v>231</v>
      </c>
      <c r="I25" s="3">
        <v>41.73</v>
      </c>
      <c r="J25" s="5">
        <f t="shared" si="0"/>
        <v>2272.829999999999</v>
      </c>
    </row>
    <row r="26" spans="1:10">
      <c r="A26" s="2">
        <v>42400</v>
      </c>
      <c r="B26" s="3">
        <v>171.65</v>
      </c>
      <c r="C26" s="3">
        <v>128.40199999999999</v>
      </c>
      <c r="D26" s="3">
        <v>172.49999999999901</v>
      </c>
      <c r="E26" s="3">
        <v>1476.3240000000001</v>
      </c>
      <c r="F26" s="3">
        <v>248</v>
      </c>
      <c r="G26" s="3">
        <v>24</v>
      </c>
      <c r="H26" s="3">
        <v>174</v>
      </c>
      <c r="I26" s="3">
        <v>56.5</v>
      </c>
      <c r="J26" s="5">
        <f t="shared" si="0"/>
        <v>2451.3759999999993</v>
      </c>
    </row>
    <row r="27" spans="1:10">
      <c r="A27" s="2">
        <v>42429</v>
      </c>
      <c r="B27" s="3">
        <v>173.81</v>
      </c>
      <c r="C27" s="3">
        <v>137.52799999999999</v>
      </c>
      <c r="D27" s="3">
        <v>134.19999999999999</v>
      </c>
      <c r="E27" s="3">
        <v>1224.8620000000001</v>
      </c>
      <c r="F27" s="3">
        <v>239</v>
      </c>
      <c r="G27" s="3">
        <v>20</v>
      </c>
      <c r="H27" s="3">
        <v>245</v>
      </c>
      <c r="I27" s="3">
        <v>58</v>
      </c>
      <c r="J27" s="5">
        <f t="shared" si="0"/>
        <v>2232.4</v>
      </c>
    </row>
    <row r="28" spans="1:10">
      <c r="A28" s="2">
        <v>42460</v>
      </c>
      <c r="B28" s="3">
        <v>156.63999999999999</v>
      </c>
      <c r="C28" s="3">
        <v>180.589</v>
      </c>
      <c r="D28" s="3">
        <v>148.4</v>
      </c>
      <c r="E28" s="3">
        <v>1150.7</v>
      </c>
      <c r="F28" s="3">
        <v>250</v>
      </c>
      <c r="G28" s="3">
        <v>13</v>
      </c>
      <c r="H28" s="3">
        <v>253</v>
      </c>
      <c r="I28" s="3">
        <v>97.84</v>
      </c>
      <c r="J28" s="5">
        <f t="shared" si="0"/>
        <v>2250.1690000000003</v>
      </c>
    </row>
    <row r="29" spans="1:10">
      <c r="A29" s="2">
        <v>42490</v>
      </c>
      <c r="B29" s="3">
        <v>166.61</v>
      </c>
      <c r="C29" s="3">
        <v>146.52600000000001</v>
      </c>
      <c r="D29" s="3">
        <v>147.69999999999999</v>
      </c>
      <c r="E29" s="3">
        <v>998.33699999999999</v>
      </c>
      <c r="F29" s="3">
        <v>318</v>
      </c>
      <c r="G29" s="3">
        <v>18</v>
      </c>
      <c r="H29" s="3">
        <v>216</v>
      </c>
      <c r="I29" s="3">
        <v>162.39999999999901</v>
      </c>
      <c r="J29" s="5">
        <f t="shared" si="0"/>
        <v>2173.572999999999</v>
      </c>
    </row>
    <row r="30" spans="1:10">
      <c r="A30" s="2">
        <v>42521</v>
      </c>
      <c r="B30" s="3">
        <v>167.36</v>
      </c>
      <c r="C30" s="3">
        <v>120.860999999999</v>
      </c>
      <c r="D30" s="3">
        <v>130.54999999999899</v>
      </c>
      <c r="E30" s="3">
        <v>997.15</v>
      </c>
      <c r="F30" s="3">
        <v>275</v>
      </c>
      <c r="G30" s="3">
        <v>18</v>
      </c>
      <c r="H30" s="3">
        <v>131</v>
      </c>
      <c r="I30" s="3">
        <v>137.1</v>
      </c>
      <c r="J30" s="5">
        <f t="shared" si="0"/>
        <v>1977.0209999999979</v>
      </c>
    </row>
    <row r="31" spans="1:10">
      <c r="A31" s="2">
        <v>42551</v>
      </c>
      <c r="B31" s="3">
        <v>169.67</v>
      </c>
      <c r="C31" s="3">
        <v>114.961</v>
      </c>
      <c r="D31" s="3">
        <v>117.75</v>
      </c>
      <c r="E31" s="3">
        <v>760.05</v>
      </c>
      <c r="F31" s="3">
        <v>311</v>
      </c>
      <c r="G31" s="3">
        <v>20</v>
      </c>
      <c r="H31" s="3">
        <v>127</v>
      </c>
      <c r="I31" s="3">
        <v>134.80000000000001</v>
      </c>
      <c r="J31" s="5">
        <f t="shared" si="0"/>
        <v>1755.231</v>
      </c>
    </row>
    <row r="32" spans="1:10">
      <c r="A32" s="2">
        <v>42582</v>
      </c>
      <c r="B32" s="3">
        <v>203.97</v>
      </c>
      <c r="C32" s="3">
        <v>141.01900000000001</v>
      </c>
      <c r="D32" s="3">
        <v>137.89999999999901</v>
      </c>
      <c r="E32" s="3">
        <v>652.36199999999894</v>
      </c>
      <c r="F32" s="3">
        <v>240</v>
      </c>
      <c r="G32" s="3">
        <v>8</v>
      </c>
      <c r="H32" s="3">
        <v>109</v>
      </c>
      <c r="I32" s="3">
        <v>116.83</v>
      </c>
      <c r="J32" s="5">
        <f t="shared" si="0"/>
        <v>1609.0809999999979</v>
      </c>
    </row>
    <row r="33" spans="1:10">
      <c r="A33" s="2">
        <v>42613</v>
      </c>
      <c r="B33" s="3">
        <v>211.13</v>
      </c>
      <c r="C33" s="3">
        <v>114.37499999999901</v>
      </c>
      <c r="D33" s="3">
        <v>132.69999999999999</v>
      </c>
      <c r="E33" s="3">
        <v>753.05</v>
      </c>
      <c r="F33" s="3">
        <v>275.5</v>
      </c>
      <c r="G33" s="3">
        <v>12</v>
      </c>
      <c r="H33" s="3">
        <v>116</v>
      </c>
      <c r="I33" s="3">
        <v>85.3</v>
      </c>
      <c r="J33" s="5">
        <f t="shared" si="0"/>
        <v>1700.0549999999989</v>
      </c>
    </row>
    <row r="34" spans="1:10">
      <c r="A34" s="2">
        <v>42643</v>
      </c>
      <c r="B34" s="3">
        <v>172.96</v>
      </c>
      <c r="C34" s="3">
        <v>126.21799999999899</v>
      </c>
      <c r="D34" s="3">
        <v>116.7</v>
      </c>
      <c r="E34" s="3">
        <v>1118.6990000000001</v>
      </c>
      <c r="F34" s="3">
        <v>307</v>
      </c>
      <c r="G34" s="3">
        <v>18</v>
      </c>
      <c r="H34" s="3">
        <v>121</v>
      </c>
      <c r="I34" s="3">
        <v>69.3</v>
      </c>
      <c r="J34" s="5">
        <f t="shared" si="0"/>
        <v>2049.876999999999</v>
      </c>
    </row>
    <row r="35" spans="1:10">
      <c r="A35" s="2">
        <v>42674</v>
      </c>
      <c r="B35" s="3">
        <v>186.76</v>
      </c>
      <c r="C35" s="3">
        <v>142.05600000000001</v>
      </c>
      <c r="D35" s="3">
        <v>160.15</v>
      </c>
      <c r="E35" s="3">
        <v>1617.2750000000001</v>
      </c>
      <c r="F35" s="3">
        <v>312</v>
      </c>
      <c r="G35" s="3">
        <v>11</v>
      </c>
      <c r="H35" s="3">
        <v>220</v>
      </c>
      <c r="I35" s="3">
        <v>60.9</v>
      </c>
      <c r="J35" s="5">
        <f t="shared" si="0"/>
        <v>2710.1410000000001</v>
      </c>
    </row>
    <row r="36" spans="1:10">
      <c r="A36" s="2">
        <v>42704</v>
      </c>
      <c r="B36" s="3">
        <v>175.18</v>
      </c>
      <c r="C36" s="3">
        <v>116.849999999999</v>
      </c>
      <c r="D36" s="3">
        <v>133.85</v>
      </c>
      <c r="E36" s="3">
        <v>1062.6859999999999</v>
      </c>
      <c r="F36" s="3">
        <v>246</v>
      </c>
      <c r="G36" s="3">
        <v>27</v>
      </c>
      <c r="H36" s="3">
        <v>150</v>
      </c>
      <c r="I36" s="3">
        <v>51.199999999999903</v>
      </c>
      <c r="J36" s="5">
        <f t="shared" si="0"/>
        <v>1962.7659999999987</v>
      </c>
    </row>
    <row r="37" spans="1:10">
      <c r="A37" s="2">
        <v>42735</v>
      </c>
      <c r="B37" s="3">
        <v>169.32</v>
      </c>
      <c r="C37" s="3">
        <v>135.05600000000001</v>
      </c>
      <c r="D37" s="3">
        <v>132.39999999999901</v>
      </c>
      <c r="E37" s="3">
        <v>1624.335</v>
      </c>
      <c r="F37" s="3">
        <v>257</v>
      </c>
      <c r="G37" s="3">
        <v>18</v>
      </c>
      <c r="H37" s="3">
        <v>275</v>
      </c>
      <c r="I37" s="3">
        <v>34.9</v>
      </c>
      <c r="J37" s="5">
        <f t="shared" si="0"/>
        <v>2646.0109999999991</v>
      </c>
    </row>
    <row r="38" spans="1:10">
      <c r="A38" s="2">
        <v>42766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5">
        <f t="shared" si="0"/>
        <v>1</v>
      </c>
    </row>
    <row r="39" spans="1:10">
      <c r="A39" s="2">
        <v>42794</v>
      </c>
      <c r="B39" s="3">
        <v>139.69</v>
      </c>
      <c r="C39" s="3">
        <v>103.517</v>
      </c>
      <c r="D39" s="3">
        <v>97</v>
      </c>
      <c r="E39" s="3">
        <v>526.35</v>
      </c>
      <c r="F39" s="3">
        <v>144</v>
      </c>
      <c r="G39" s="3">
        <v>7</v>
      </c>
      <c r="H39" s="3">
        <v>117</v>
      </c>
      <c r="I39" s="3">
        <v>30.6</v>
      </c>
      <c r="J39" s="5">
        <f t="shared" si="0"/>
        <v>1165.1569999999999</v>
      </c>
    </row>
    <row r="40" spans="1:10">
      <c r="A40" s="2">
        <v>42825</v>
      </c>
      <c r="B40" s="3">
        <v>162.85</v>
      </c>
      <c r="C40" s="3">
        <v>111.05500000000001</v>
      </c>
      <c r="D40" s="3">
        <v>107.35</v>
      </c>
      <c r="E40" s="3">
        <v>612.5</v>
      </c>
      <c r="F40" s="3">
        <v>165</v>
      </c>
      <c r="G40" s="3">
        <v>9</v>
      </c>
      <c r="H40" s="3">
        <v>139</v>
      </c>
      <c r="I40" s="3">
        <v>100.1</v>
      </c>
      <c r="J40" s="5">
        <f t="shared" si="0"/>
        <v>1406.855</v>
      </c>
    </row>
    <row r="41" spans="1:10">
      <c r="A41" s="2">
        <v>42855</v>
      </c>
      <c r="B41" s="3">
        <v>155.61000000000001</v>
      </c>
      <c r="C41" s="3">
        <v>101.215</v>
      </c>
      <c r="D41" s="3">
        <v>100.5</v>
      </c>
      <c r="E41" s="3">
        <v>540.19999999999902</v>
      </c>
      <c r="F41" s="3">
        <v>132</v>
      </c>
      <c r="G41" s="3">
        <v>9</v>
      </c>
      <c r="H41" s="3">
        <v>209</v>
      </c>
      <c r="I41" s="3">
        <v>122.399999999999</v>
      </c>
      <c r="J41" s="5">
        <f t="shared" si="0"/>
        <v>1369.9249999999981</v>
      </c>
    </row>
    <row r="42" spans="1:10">
      <c r="A42" s="2">
        <v>42886</v>
      </c>
      <c r="B42" s="3">
        <v>143.66</v>
      </c>
      <c r="C42" s="3">
        <v>118.125</v>
      </c>
      <c r="D42" s="3">
        <v>98.95</v>
      </c>
      <c r="E42" s="3">
        <v>547.93999999999903</v>
      </c>
      <c r="F42" s="3">
        <v>148</v>
      </c>
      <c r="G42" s="3">
        <v>23</v>
      </c>
      <c r="H42" s="3">
        <v>128</v>
      </c>
      <c r="I42" s="3">
        <v>161.81</v>
      </c>
      <c r="J42" s="5">
        <f t="shared" si="0"/>
        <v>1369.484999999999</v>
      </c>
    </row>
    <row r="43" spans="1:10">
      <c r="A43" s="2">
        <v>42916</v>
      </c>
      <c r="B43" s="3">
        <v>122.33</v>
      </c>
      <c r="C43" s="3">
        <v>103.00599999999901</v>
      </c>
      <c r="D43" s="3">
        <v>119.6</v>
      </c>
      <c r="E43" s="3">
        <v>496.1</v>
      </c>
      <c r="F43" s="3">
        <v>163</v>
      </c>
      <c r="G43" s="3">
        <v>8</v>
      </c>
      <c r="H43" s="3">
        <v>163</v>
      </c>
      <c r="I43" s="3">
        <v>151.89999999999901</v>
      </c>
      <c r="J43" s="5">
        <f t="shared" si="0"/>
        <v>1326.9359999999981</v>
      </c>
    </row>
    <row r="44" spans="1:10">
      <c r="A44" s="2">
        <v>42947</v>
      </c>
      <c r="B44" s="3">
        <v>159.66999999999999</v>
      </c>
      <c r="C44" s="3">
        <v>116.206</v>
      </c>
      <c r="D44" s="3">
        <v>75.199999999999903</v>
      </c>
      <c r="E44" s="3">
        <v>479.349999999999</v>
      </c>
      <c r="F44" s="3">
        <v>219</v>
      </c>
      <c r="G44" s="3">
        <v>15</v>
      </c>
      <c r="H44" s="3">
        <v>115</v>
      </c>
      <c r="I44" s="3">
        <v>81.099999999999994</v>
      </c>
      <c r="J44" s="5">
        <f t="shared" si="0"/>
        <v>1260.5259999999989</v>
      </c>
    </row>
    <row r="45" spans="1:10">
      <c r="A45" s="2">
        <v>42978</v>
      </c>
      <c r="B45" s="3">
        <v>170.14999999999901</v>
      </c>
      <c r="C45" s="3">
        <v>112.47</v>
      </c>
      <c r="D45" s="3">
        <v>84.4</v>
      </c>
      <c r="E45" s="3">
        <v>549.29999999999995</v>
      </c>
      <c r="F45" s="3">
        <v>239</v>
      </c>
      <c r="G45" s="3">
        <v>12</v>
      </c>
      <c r="H45" s="3">
        <v>75</v>
      </c>
      <c r="I45" s="3">
        <v>60.1</v>
      </c>
      <c r="J45" s="5">
        <f t="shared" si="0"/>
        <v>1302.4199999999987</v>
      </c>
    </row>
    <row r="46" spans="1:10">
      <c r="A46" s="2">
        <v>43008</v>
      </c>
      <c r="B46" s="3">
        <v>138.33000000000001</v>
      </c>
      <c r="C46" s="3">
        <v>118.711</v>
      </c>
      <c r="D46" s="3">
        <v>88.149999999999906</v>
      </c>
      <c r="E46" s="3">
        <v>863.75</v>
      </c>
      <c r="F46" s="3">
        <v>223</v>
      </c>
      <c r="G46" s="3">
        <v>23</v>
      </c>
      <c r="H46" s="3">
        <v>139</v>
      </c>
      <c r="I46" s="3">
        <v>66.900000000000006</v>
      </c>
      <c r="J46" s="5">
        <f t="shared" si="0"/>
        <v>1660.8409999999999</v>
      </c>
    </row>
    <row r="47" spans="1:10">
      <c r="A47" s="2">
        <v>43039</v>
      </c>
      <c r="B47" s="3">
        <v>137.63999999999999</v>
      </c>
      <c r="C47" s="3">
        <v>88.736999999999995</v>
      </c>
      <c r="D47" s="3">
        <v>100.399999999999</v>
      </c>
      <c r="E47" s="3">
        <v>1184.3499999999999</v>
      </c>
      <c r="F47" s="3">
        <v>226</v>
      </c>
      <c r="G47" s="3">
        <v>15</v>
      </c>
      <c r="H47" s="3">
        <v>247</v>
      </c>
      <c r="I47" s="3">
        <v>51</v>
      </c>
      <c r="J47" s="5">
        <f t="shared" si="0"/>
        <v>2050.1269999999986</v>
      </c>
    </row>
    <row r="48" spans="1:10">
      <c r="A48" s="2">
        <v>43069</v>
      </c>
      <c r="B48" s="3">
        <v>163.85</v>
      </c>
      <c r="C48" s="3">
        <v>119.78</v>
      </c>
      <c r="D48" s="3">
        <v>104.45</v>
      </c>
      <c r="E48" s="3">
        <v>867.899</v>
      </c>
      <c r="F48" s="3">
        <v>192</v>
      </c>
      <c r="G48" s="3">
        <v>15</v>
      </c>
      <c r="H48" s="3">
        <v>196</v>
      </c>
      <c r="I48" s="3">
        <v>46.599999999999902</v>
      </c>
      <c r="J48" s="5">
        <f t="shared" si="0"/>
        <v>1705.579</v>
      </c>
    </row>
    <row r="49" spans="1:10">
      <c r="A49" s="2">
        <v>43100</v>
      </c>
      <c r="B49" s="3">
        <v>160.01</v>
      </c>
      <c r="C49" s="3">
        <v>121.663</v>
      </c>
      <c r="D49" s="3">
        <v>115.149999999999</v>
      </c>
      <c r="E49" s="3">
        <v>1007.18</v>
      </c>
      <c r="F49" s="3">
        <v>226</v>
      </c>
      <c r="G49" s="3">
        <v>6</v>
      </c>
      <c r="H49" s="3">
        <v>204</v>
      </c>
      <c r="I49" s="3">
        <v>47.1</v>
      </c>
      <c r="J49" s="5">
        <f t="shared" si="0"/>
        <v>1887.1029999999989</v>
      </c>
    </row>
    <row r="50" spans="1:10">
      <c r="A50" s="2">
        <v>43131</v>
      </c>
      <c r="B50" s="3">
        <v>132.28</v>
      </c>
      <c r="C50" s="3">
        <v>109.445999999999</v>
      </c>
      <c r="D50" s="3">
        <v>101.149999999999</v>
      </c>
      <c r="E50" s="3">
        <v>1134.325</v>
      </c>
      <c r="F50" s="3">
        <v>229</v>
      </c>
      <c r="G50" s="3">
        <v>11</v>
      </c>
      <c r="H50" s="3">
        <v>219</v>
      </c>
      <c r="I50" s="3">
        <v>49.5</v>
      </c>
      <c r="J50" s="5">
        <f t="shared" si="0"/>
        <v>1985.700999999998</v>
      </c>
    </row>
    <row r="51" spans="1:10">
      <c r="A51" s="2">
        <v>43159</v>
      </c>
      <c r="B51" s="3">
        <v>128.36000000000001</v>
      </c>
      <c r="C51" s="3">
        <v>132.804</v>
      </c>
      <c r="D51" s="3">
        <v>114.65</v>
      </c>
      <c r="E51" s="3">
        <v>1255.374</v>
      </c>
      <c r="F51" s="3">
        <v>268</v>
      </c>
      <c r="G51" s="3">
        <v>12</v>
      </c>
      <c r="H51" s="3">
        <v>253</v>
      </c>
      <c r="I51" s="3">
        <v>39.06</v>
      </c>
      <c r="J51" s="5">
        <f t="shared" si="0"/>
        <v>2203.248</v>
      </c>
    </row>
    <row r="52" spans="1:10">
      <c r="A52" s="2">
        <v>43190</v>
      </c>
      <c r="B52" s="3">
        <v>146.16</v>
      </c>
      <c r="C52" s="3">
        <v>111.764</v>
      </c>
      <c r="D52" s="3">
        <v>122.3</v>
      </c>
      <c r="E52" s="3">
        <v>999.12300000000005</v>
      </c>
      <c r="F52" s="3">
        <v>381</v>
      </c>
      <c r="G52" s="3">
        <v>42</v>
      </c>
      <c r="H52" s="3">
        <v>269</v>
      </c>
      <c r="I52" s="3">
        <v>85.5</v>
      </c>
      <c r="J52" s="5">
        <f t="shared" si="0"/>
        <v>2156.8469999999998</v>
      </c>
    </row>
    <row r="53" spans="1:10">
      <c r="A53" s="2">
        <v>43220</v>
      </c>
      <c r="B53" s="3">
        <v>170.02</v>
      </c>
      <c r="C53" s="3">
        <v>107.723</v>
      </c>
      <c r="D53" s="3">
        <v>84.6</v>
      </c>
      <c r="E53" s="3">
        <v>836.03699999999901</v>
      </c>
      <c r="F53" s="3">
        <v>289</v>
      </c>
      <c r="G53" s="3">
        <v>21</v>
      </c>
      <c r="H53" s="3">
        <v>229</v>
      </c>
      <c r="I53" s="3">
        <v>197.1</v>
      </c>
      <c r="J53" s="5">
        <f t="shared" si="0"/>
        <v>1934.4799999999989</v>
      </c>
    </row>
    <row r="54" spans="1:10">
      <c r="A54" s="2">
        <v>43251</v>
      </c>
      <c r="B54" s="3">
        <v>160.52000000000001</v>
      </c>
      <c r="C54" s="3">
        <v>103.521999999999</v>
      </c>
      <c r="D54" s="3">
        <v>89.399999999999906</v>
      </c>
      <c r="E54" s="3">
        <v>644.64800000000002</v>
      </c>
      <c r="F54" s="3">
        <v>259</v>
      </c>
      <c r="G54" s="3">
        <v>13</v>
      </c>
      <c r="H54" s="3">
        <v>192</v>
      </c>
      <c r="I54" s="3">
        <v>213.04</v>
      </c>
      <c r="J54" s="5">
        <f t="shared" si="0"/>
        <v>1675.129999999999</v>
      </c>
    </row>
    <row r="55" spans="1:10">
      <c r="A55" s="2">
        <v>43281</v>
      </c>
      <c r="B55" s="3">
        <v>141.18</v>
      </c>
      <c r="C55" s="3">
        <v>114.226</v>
      </c>
      <c r="D55" s="3">
        <v>86.8</v>
      </c>
      <c r="E55" s="3">
        <v>584.34299999999996</v>
      </c>
      <c r="F55" s="3">
        <v>248</v>
      </c>
      <c r="G55" s="3">
        <v>18</v>
      </c>
      <c r="H55" s="3">
        <v>101</v>
      </c>
      <c r="I55" s="3">
        <v>120.8</v>
      </c>
      <c r="J55" s="5">
        <f t="shared" si="0"/>
        <v>1414.3489999999999</v>
      </c>
    </row>
    <row r="56" spans="1:10">
      <c r="A56" s="2">
        <v>43312</v>
      </c>
      <c r="B56" s="3">
        <v>150.18</v>
      </c>
      <c r="C56" s="3">
        <v>132.54900000000001</v>
      </c>
      <c r="D56" s="3">
        <v>87.2</v>
      </c>
      <c r="E56" s="3">
        <v>679.349999999999</v>
      </c>
      <c r="F56" s="3">
        <v>283</v>
      </c>
      <c r="G56" s="3">
        <v>19</v>
      </c>
      <c r="H56" s="3">
        <v>90</v>
      </c>
      <c r="I56" s="3">
        <v>122.2</v>
      </c>
      <c r="J56" s="5">
        <f t="shared" si="0"/>
        <v>1563.4789999999991</v>
      </c>
    </row>
    <row r="57" spans="1:10">
      <c r="A57" s="2">
        <v>43343</v>
      </c>
      <c r="B57" s="3">
        <v>140</v>
      </c>
      <c r="C57" s="3">
        <v>114.71899999999999</v>
      </c>
      <c r="D57" s="3">
        <v>88.25</v>
      </c>
      <c r="E57" s="3">
        <v>733.83799999999997</v>
      </c>
      <c r="F57" s="3">
        <v>253</v>
      </c>
      <c r="G57" s="3">
        <v>20</v>
      </c>
      <c r="H57" s="3">
        <v>159</v>
      </c>
      <c r="I57" s="3">
        <v>103.1</v>
      </c>
      <c r="J57" s="5">
        <f t="shared" si="0"/>
        <v>1611.9069999999999</v>
      </c>
    </row>
    <row r="58" spans="1:10">
      <c r="A58" s="2">
        <v>43373</v>
      </c>
      <c r="B58" s="3">
        <v>153.52000000000001</v>
      </c>
      <c r="C58" s="3">
        <v>114.992</v>
      </c>
      <c r="D58" s="3">
        <v>86.5</v>
      </c>
      <c r="E58" s="3">
        <v>1058.2619999999999</v>
      </c>
      <c r="F58" s="3">
        <v>263</v>
      </c>
      <c r="G58" s="3">
        <v>12</v>
      </c>
      <c r="H58" s="3">
        <v>205</v>
      </c>
      <c r="I58" s="3">
        <v>88.1</v>
      </c>
      <c r="J58" s="5">
        <f t="shared" si="0"/>
        <v>1981.3739999999998</v>
      </c>
    </row>
    <row r="59" spans="1:10">
      <c r="A59" s="2">
        <v>43404</v>
      </c>
      <c r="B59" s="3">
        <v>144.71</v>
      </c>
      <c r="C59" s="3">
        <v>129.4</v>
      </c>
      <c r="D59" s="3">
        <v>76.05</v>
      </c>
      <c r="E59" s="3">
        <v>1129.2749999999901</v>
      </c>
      <c r="F59" s="3">
        <v>287</v>
      </c>
      <c r="G59" s="3">
        <v>25</v>
      </c>
      <c r="H59" s="3">
        <v>353</v>
      </c>
      <c r="I59" s="3">
        <v>76.900000000000006</v>
      </c>
      <c r="J59" s="5">
        <f t="shared" si="0"/>
        <v>2221.3349999999905</v>
      </c>
    </row>
    <row r="60" spans="1:10">
      <c r="A60" s="2">
        <v>43434</v>
      </c>
      <c r="B60" s="3">
        <v>172.29</v>
      </c>
      <c r="C60" s="3">
        <v>105.48699999999999</v>
      </c>
      <c r="D60" s="3">
        <v>102.149999999999</v>
      </c>
      <c r="E60" s="3">
        <v>995.15</v>
      </c>
      <c r="F60" s="3">
        <v>252.2</v>
      </c>
      <c r="G60" s="3">
        <v>22</v>
      </c>
      <c r="H60" s="3">
        <v>311</v>
      </c>
      <c r="I60" s="3">
        <v>48.4</v>
      </c>
      <c r="J60" s="5">
        <f t="shared" si="0"/>
        <v>2008.676999999999</v>
      </c>
    </row>
    <row r="61" spans="1:10">
      <c r="A61" s="2">
        <v>43465</v>
      </c>
      <c r="B61" s="3">
        <v>147.71</v>
      </c>
      <c r="C61" s="3">
        <v>113.024</v>
      </c>
      <c r="D61" s="3">
        <v>84.75</v>
      </c>
      <c r="E61" s="3">
        <v>1213.95</v>
      </c>
      <c r="F61" s="3">
        <v>254</v>
      </c>
      <c r="G61" s="3">
        <v>27</v>
      </c>
      <c r="H61" s="3">
        <v>384</v>
      </c>
      <c r="I61" s="3">
        <v>53.099999999999902</v>
      </c>
      <c r="J61" s="5">
        <f t="shared" si="0"/>
        <v>2277.5340000000001</v>
      </c>
    </row>
    <row r="62" spans="1:10">
      <c r="A62" s="2">
        <v>43496</v>
      </c>
      <c r="B62" s="3">
        <v>179.7</v>
      </c>
      <c r="C62" s="3">
        <v>222.351</v>
      </c>
      <c r="D62" s="3">
        <v>99.699999999999903</v>
      </c>
      <c r="E62" s="3">
        <v>1660.6120000000001</v>
      </c>
      <c r="F62" s="3">
        <v>295.2</v>
      </c>
      <c r="G62" s="3">
        <v>23</v>
      </c>
      <c r="H62" s="3">
        <v>386</v>
      </c>
      <c r="I62" s="3">
        <v>41.3</v>
      </c>
      <c r="J62" s="5">
        <f t="shared" si="0"/>
        <v>2907.8629999999998</v>
      </c>
    </row>
    <row r="63" spans="1:10">
      <c r="A63" s="2">
        <v>43524</v>
      </c>
      <c r="B63" s="3">
        <v>133.72999999999999</v>
      </c>
      <c r="C63" s="3">
        <v>142.155</v>
      </c>
      <c r="D63" s="3">
        <v>110.19999999999899</v>
      </c>
      <c r="E63" s="3">
        <v>1001.212</v>
      </c>
      <c r="F63" s="3">
        <v>249.39999999999901</v>
      </c>
      <c r="G63" s="3">
        <v>12</v>
      </c>
      <c r="H63" s="3">
        <v>226</v>
      </c>
      <c r="I63" s="3">
        <v>69.5</v>
      </c>
      <c r="J63" s="5">
        <f t="shared" si="0"/>
        <v>1944.1969999999981</v>
      </c>
    </row>
    <row r="64" spans="1:10">
      <c r="A64" s="2">
        <v>43555</v>
      </c>
      <c r="B64" s="3">
        <v>154.52000000000001</v>
      </c>
      <c r="C64" s="3">
        <v>113.11799999999999</v>
      </c>
      <c r="D64" s="3">
        <v>83.35</v>
      </c>
      <c r="E64" s="3">
        <v>941.05</v>
      </c>
      <c r="F64" s="3">
        <v>301.39999999999998</v>
      </c>
      <c r="G64" s="3">
        <v>19</v>
      </c>
      <c r="H64" s="3">
        <v>257</v>
      </c>
      <c r="I64" s="3">
        <v>169.49999999999901</v>
      </c>
      <c r="J64" s="5">
        <f t="shared" si="0"/>
        <v>2038.9379999999992</v>
      </c>
    </row>
    <row r="65" spans="1:10">
      <c r="A65" s="2">
        <v>43585</v>
      </c>
      <c r="B65" s="3">
        <v>161.38999999999999</v>
      </c>
      <c r="C65" s="3">
        <v>100.16500000000001</v>
      </c>
      <c r="D65" s="3">
        <v>88.1</v>
      </c>
      <c r="E65" s="3">
        <v>647.65</v>
      </c>
      <c r="F65" s="3">
        <v>299.39999999999998</v>
      </c>
      <c r="G65" s="3">
        <v>22</v>
      </c>
      <c r="H65" s="3">
        <v>259</v>
      </c>
      <c r="I65" s="3">
        <v>179.1</v>
      </c>
      <c r="J65" s="5">
        <f t="shared" si="0"/>
        <v>1756.8049999999998</v>
      </c>
    </row>
    <row r="66" spans="1:10">
      <c r="A66" s="2">
        <v>43616</v>
      </c>
      <c r="B66" s="3">
        <v>168.04</v>
      </c>
      <c r="C66" s="3">
        <v>97.257999999999996</v>
      </c>
      <c r="D66" s="3">
        <v>104.1</v>
      </c>
      <c r="E66" s="3">
        <v>703.56200000000001</v>
      </c>
      <c r="F66" s="3">
        <v>265.79999999999899</v>
      </c>
      <c r="G66" s="3">
        <v>26</v>
      </c>
      <c r="H66" s="3">
        <v>322</v>
      </c>
      <c r="I66" s="3">
        <v>135.4</v>
      </c>
      <c r="J66" s="5">
        <f t="shared" si="0"/>
        <v>1822.1599999999992</v>
      </c>
    </row>
    <row r="67" spans="1:10">
      <c r="A67" s="2">
        <v>43646</v>
      </c>
      <c r="B67" s="3">
        <v>151.54</v>
      </c>
      <c r="C67" s="3">
        <v>101.627</v>
      </c>
      <c r="D67" s="3">
        <v>103.2</v>
      </c>
      <c r="E67" s="3">
        <v>609.99999999999898</v>
      </c>
      <c r="F67" s="3">
        <v>193</v>
      </c>
      <c r="G67" s="3">
        <v>25</v>
      </c>
      <c r="H67" s="3">
        <v>142</v>
      </c>
      <c r="I67" s="3">
        <v>156.04</v>
      </c>
      <c r="J67" s="5">
        <f t="shared" ref="J67:J71" si="1">SUM(B67:I67)</f>
        <v>1482.4069999999988</v>
      </c>
    </row>
    <row r="68" spans="1:10">
      <c r="A68" s="2">
        <v>43677</v>
      </c>
      <c r="B68" s="3">
        <v>181</v>
      </c>
      <c r="C68" s="3">
        <v>103.541</v>
      </c>
      <c r="D68" s="3">
        <v>92.8</v>
      </c>
      <c r="E68" s="3">
        <v>649.79999999999995</v>
      </c>
      <c r="F68" s="3">
        <v>250.6</v>
      </c>
      <c r="G68" s="3">
        <v>20</v>
      </c>
      <c r="H68" s="3">
        <v>115</v>
      </c>
      <c r="I68" s="3">
        <v>105.2</v>
      </c>
      <c r="J68" s="5">
        <f t="shared" si="1"/>
        <v>1517.941</v>
      </c>
    </row>
    <row r="69" spans="1:10">
      <c r="A69" s="2">
        <v>43708</v>
      </c>
      <c r="B69" s="3">
        <v>181.91</v>
      </c>
      <c r="C69" s="3">
        <v>88.269000000000005</v>
      </c>
      <c r="D69" s="3">
        <v>84.199999999999903</v>
      </c>
      <c r="E69" s="3">
        <v>518.099999999999</v>
      </c>
      <c r="F69" s="3">
        <v>237</v>
      </c>
      <c r="G69" s="3">
        <v>26</v>
      </c>
      <c r="H69" s="3">
        <v>145</v>
      </c>
      <c r="I69" s="3">
        <v>97.3</v>
      </c>
      <c r="J69" s="5">
        <f t="shared" si="1"/>
        <v>1377.7789999999989</v>
      </c>
    </row>
    <row r="70" spans="1:10">
      <c r="A70" s="2">
        <v>43738</v>
      </c>
      <c r="B70" s="3">
        <v>161.07</v>
      </c>
      <c r="C70" s="3">
        <v>111.437</v>
      </c>
      <c r="D70" s="3">
        <v>93.499999999999901</v>
      </c>
      <c r="E70" s="3">
        <v>984.479999999999</v>
      </c>
      <c r="F70" s="3">
        <v>227.79999999999899</v>
      </c>
      <c r="G70" s="3">
        <v>16</v>
      </c>
      <c r="H70" s="3">
        <v>161</v>
      </c>
      <c r="I70" s="3">
        <v>109.1</v>
      </c>
      <c r="J70" s="5">
        <f t="shared" si="1"/>
        <v>1864.3869999999979</v>
      </c>
    </row>
    <row r="71" spans="1:10">
      <c r="A71" s="2">
        <v>43769</v>
      </c>
      <c r="B71" s="3">
        <v>44.37</v>
      </c>
      <c r="C71" s="3">
        <v>37.299999999999997</v>
      </c>
      <c r="D71" s="3">
        <v>20.65</v>
      </c>
      <c r="E71" s="3">
        <v>295.14999999999998</v>
      </c>
      <c r="F71" s="3">
        <v>86</v>
      </c>
      <c r="G71" s="3">
        <v>7</v>
      </c>
      <c r="H71" s="3">
        <v>37</v>
      </c>
      <c r="I71" s="3">
        <v>11.1299999999999</v>
      </c>
      <c r="J71" s="5">
        <f t="shared" si="1"/>
        <v>538.59999999999991</v>
      </c>
    </row>
  </sheetData>
  <pageMargins left="0.7" right="0.7" top="0.75" bottom="0.75" header="0.3" footer="0.3"/>
  <ignoredErrors>
    <ignoredError sqref="J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6D1B-29BC-4A45-B12A-3E597F27D12B}">
  <dimension ref="A1:B9"/>
  <sheetViews>
    <sheetView workbookViewId="0">
      <selection activeCell="A2" sqref="A2:B9"/>
    </sheetView>
  </sheetViews>
  <sheetFormatPr defaultRowHeight="14.5"/>
  <cols>
    <col min="1" max="1" width="14.6328125" customWidth="1"/>
    <col min="2" max="2" width="15.7265625" customWidth="1"/>
  </cols>
  <sheetData>
    <row r="1" spans="1:2" s="4" customFormat="1" ht="15.5">
      <c r="A1" s="4" t="s">
        <v>10</v>
      </c>
      <c r="B1" s="4" t="s">
        <v>11</v>
      </c>
    </row>
    <row r="2" spans="1:2">
      <c r="A2" s="3" t="s">
        <v>4</v>
      </c>
      <c r="B2">
        <f>SUM(MonthlySales!E:E)</f>
        <v>62477.944999999971</v>
      </c>
    </row>
    <row r="3" spans="1:2">
      <c r="A3" s="3" t="s">
        <v>5</v>
      </c>
      <c r="B3">
        <f>SUM(MonthlySales!F:F)</f>
        <v>18348.3</v>
      </c>
    </row>
    <row r="4" spans="1:2">
      <c r="A4" s="3" t="s">
        <v>7</v>
      </c>
      <c r="B4">
        <f>SUM(MonthlySales!H:H)</f>
        <v>11737.25</v>
      </c>
    </row>
    <row r="5" spans="1:2">
      <c r="A5" s="3" t="s">
        <v>1</v>
      </c>
      <c r="B5">
        <f>SUM(MonthlySales!B:B)</f>
        <v>10499.440000000002</v>
      </c>
    </row>
    <row r="6" spans="1:2">
      <c r="A6" s="3" t="s">
        <v>2</v>
      </c>
      <c r="B6">
        <f>SUM(MonthlySales!C:C)</f>
        <v>8155.9999999999891</v>
      </c>
    </row>
    <row r="7" spans="1:2">
      <c r="A7" s="3" t="s">
        <v>3</v>
      </c>
      <c r="B7">
        <f>SUM(MonthlySales!D:D)</f>
        <v>8051.4589999999826</v>
      </c>
    </row>
    <row r="8" spans="1:2">
      <c r="A8" s="3" t="s">
        <v>8</v>
      </c>
      <c r="B8">
        <f>SUM(MonthlySales!I:I)</f>
        <v>6066.3799999999947</v>
      </c>
    </row>
    <row r="9" spans="1:2">
      <c r="A9" s="3" t="s">
        <v>6</v>
      </c>
      <c r="B9">
        <f>SUM(MonthlySales!G:G)</f>
        <v>1249</v>
      </c>
    </row>
  </sheetData>
  <sortState xmlns:xlrd2="http://schemas.microsoft.com/office/spreadsheetml/2017/richdata2" ref="A2:B9">
    <sortCondition descending="1" ref="B2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MonthlySales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Varshaa B</dc:creator>
  <cp:lastModifiedBy>Varshaa B</cp:lastModifiedBy>
  <dcterms:created xsi:type="dcterms:W3CDTF">2026-10-12T16:30:30Z</dcterms:created>
  <dcterms:modified xsi:type="dcterms:W3CDTF">2026-10-12T18:14:30Z</dcterms:modified>
</cp:coreProperties>
</file>